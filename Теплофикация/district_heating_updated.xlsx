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aluginaXF\Desktop\Рабочие материалы\Проекты\ЯУЭ 2026 этап 1\РНФ НИКИЭТ июль\Оптимизация код\Теплофикация\"/>
    </mc:Choice>
  </mc:AlternateContent>
  <bookViews>
    <workbookView xWindow="0" yWindow="0" windowWidth="21570" windowHeight="8145" activeTab="3"/>
  </bookViews>
  <sheets>
    <sheet name="Results" sheetId="1" r:id="rId1"/>
    <sheet name="Parameters" sheetId="2" r:id="rId2"/>
    <sheet name="Summary" sheetId="3" r:id="rId3"/>
    <sheet name="Лист1" sheetId="4" r:id="rId4"/>
  </sheets>
  <externalReferences>
    <externalReference r:id="rId5"/>
  </externalReferences>
  <calcPr calcId="152511"/>
</workbook>
</file>

<file path=xl/calcChain.xml><?xml version="1.0" encoding="utf-8"?>
<calcChain xmlns="http://schemas.openxmlformats.org/spreadsheetml/2006/main">
  <c r="F8" i="4" l="1"/>
  <c r="H4" i="4"/>
</calcChain>
</file>

<file path=xl/sharedStrings.xml><?xml version="1.0" encoding="utf-8"?>
<sst xmlns="http://schemas.openxmlformats.org/spreadsheetml/2006/main" count="115" uniqueCount="72">
  <si>
    <t>T_Na_primary_in_C</t>
  </si>
  <si>
    <t>T_Na_primary_out_C</t>
  </si>
  <si>
    <t>T_Na_secondary_in_C</t>
  </si>
  <si>
    <t>T_Na_secondary_out_C</t>
  </si>
  <si>
    <t>T_water_in_C</t>
  </si>
  <si>
    <t>T_water_out_C</t>
  </si>
  <si>
    <t>G_Na_primary_kg_s</t>
  </si>
  <si>
    <t>G_Na_secondary_kg_s</t>
  </si>
  <si>
    <t>G_water_kg_s</t>
  </si>
  <si>
    <t>Q_primary_MW</t>
  </si>
  <si>
    <t>Q_water_MW</t>
  </si>
  <si>
    <t>Q_Na_water_MW</t>
  </si>
  <si>
    <t>dT_primary_hot_K</t>
  </si>
  <si>
    <t>dT_primary_cold_K</t>
  </si>
  <si>
    <t>LMTD_primary_K</t>
  </si>
  <si>
    <t>dT_Na_water_hot_K</t>
  </si>
  <si>
    <t>dT_Na_water_cold_K</t>
  </si>
  <si>
    <t>LMTD_Na_water_K</t>
  </si>
  <si>
    <t>P_Na_primary_MPa</t>
  </si>
  <si>
    <t>P_Na_secondary_MPa</t>
  </si>
  <si>
    <t>P_water_MPa</t>
  </si>
  <si>
    <t>dP_Na_primary_MPa</t>
  </si>
  <si>
    <t>dP_Na_secondary_MPa</t>
  </si>
  <si>
    <t>dP_water_MPa</t>
  </si>
  <si>
    <t>N_Na_primary_pump_kW</t>
  </si>
  <si>
    <t>N_Na_secondary_pump_kW</t>
  </si>
  <si>
    <t>N_water_pump_kW</t>
  </si>
  <si>
    <t>N_pumps_total_kW</t>
  </si>
  <si>
    <t>cp_water_J_kgK</t>
  </si>
  <si>
    <t>physical_root</t>
  </si>
  <si>
    <t>message</t>
  </si>
  <si>
    <t>OK</t>
  </si>
  <si>
    <t>Parameter</t>
  </si>
  <si>
    <t>Value</t>
  </si>
  <si>
    <t>T_Na_secondary_out_min_C</t>
  </si>
  <si>
    <t>T_Na_secondary_out_max_C</t>
  </si>
  <si>
    <t>T_Na_secondary_out_step_C</t>
  </si>
  <si>
    <t>CP_Na_J_kgK</t>
  </si>
  <si>
    <t>RHO_Na_kg_m3</t>
  </si>
  <si>
    <t>RHO_water_kg_m3</t>
  </si>
  <si>
    <t>dP_Na_primary_percent</t>
  </si>
  <si>
    <t>dP_Na_secondary_percent</t>
  </si>
  <si>
    <t>dP_water_percent</t>
  </si>
  <si>
    <t>ETA_PUMP_Na_primary</t>
  </si>
  <si>
    <t>ETA_PUMP_Na_secondary</t>
  </si>
  <si>
    <t>ETA_PUMP_water</t>
  </si>
  <si>
    <t>Количество точек</t>
  </si>
  <si>
    <t>G_Na_secondary_min_kg_s</t>
  </si>
  <si>
    <t>G_Na_secondary_max_kg_s</t>
  </si>
  <si>
    <t>N_Na_secondary_min_kW</t>
  </si>
  <si>
    <t>N_Na_secondary_max_kW</t>
  </si>
  <si>
    <t>N_pumps_total_min_kW</t>
  </si>
  <si>
    <t>N_pumps_total_max_kW</t>
  </si>
  <si>
    <t>Участок</t>
  </si>
  <si>
    <t>КПД</t>
  </si>
  <si>
    <t>Тепловая мощность после участка, МВт</t>
  </si>
  <si>
    <t>Потери на участке, МВт</t>
  </si>
  <si>
    <t>Потери, % от 2,75 МВт</t>
  </si>
  <si>
    <t>Исходная тепловая мощность реактора</t>
  </si>
  <si>
    <t>—</t>
  </si>
  <si>
    <t>Реактор</t>
  </si>
  <si>
    <t>ТР1</t>
  </si>
  <si>
    <t>РТО</t>
  </si>
  <si>
    <t>ТР2</t>
  </si>
  <si>
    <t>Теплообменник / ТО</t>
  </si>
  <si>
    <t>Итого</t>
  </si>
  <si>
    <t>Тепловая мощность переданная потребителю</t>
  </si>
  <si>
    <t>Тепловые потери в РУ</t>
  </si>
  <si>
    <t>Тепловые потери в трубопроводе</t>
  </si>
  <si>
    <t>Тепловые потери в РТО</t>
  </si>
  <si>
    <t>Тепловые потери в ТО</t>
  </si>
  <si>
    <t>Номинальная тепловая мощность реактора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</si>
</sst>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0" fontId="0" fillId="0" borderId="0" xfId="0" applyNumberFormat="1"/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10" fontId="0" fillId="0" borderId="0" xfId="0" applyNumberFormat="1" applyAlignment="1">
      <alignment horizontal="left" vertical="top" wrapText="1"/>
    </xf>
    <xf numFmtId="10" fontId="2" fillId="0" borderId="0" xfId="0" applyNumberFormat="1" applyFont="1" applyAlignment="1">
      <alignment horizontal="left" vertical="top" wrapText="1"/>
    </xf>
    <xf numFmtId="0" fontId="0" fillId="0" borderId="0" xfId="0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</c:dPt>
          <c:dPt>
            <c:idx val="3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</c:dPt>
          <c:dPt>
            <c:idx val="4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Лист1!$D$13:$D$18</c:f>
              <c:strCache>
                <c:ptCount val="6"/>
                <c:pt idx="0">
                  <c:v>Тепловые потери в ТО</c:v>
                </c:pt>
                <c:pt idx="1">
                  <c:v>Тепловые потери в РТО</c:v>
                </c:pt>
                <c:pt idx="2">
                  <c:v>Тепловые потери в трубопроводе</c:v>
                </c:pt>
                <c:pt idx="3">
                  <c:v>Тепловые потери в РУ</c:v>
                </c:pt>
                <c:pt idx="4">
                  <c:v>Тепловая мощность переданная потребителю</c:v>
                </c:pt>
                <c:pt idx="5">
                  <c:v>Номинальная тепловая мощность реактора</c:v>
                </c:pt>
              </c:strCache>
            </c:strRef>
          </c:cat>
          <c:val>
            <c:numRef>
              <c:f>Лист1!$E$13:$E$18</c:f>
              <c:numCache>
                <c:formatCode>General</c:formatCode>
                <c:ptCount val="6"/>
                <c:pt idx="0">
                  <c:v>0.96000000000000008</c:v>
                </c:pt>
                <c:pt idx="1">
                  <c:v>0.98</c:v>
                </c:pt>
                <c:pt idx="2">
                  <c:v>1.96</c:v>
                </c:pt>
                <c:pt idx="3">
                  <c:v>0.99</c:v>
                </c:pt>
                <c:pt idx="4">
                  <c:v>95.1</c:v>
                </c:pt>
                <c:pt idx="5">
                  <c:v>100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534356800"/>
        <c:axId val="1534364416"/>
      </c:barChart>
      <c:catAx>
        <c:axId val="15343568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ru-RU"/>
                  <a:t>Доля от </a:t>
                </a:r>
                <a:r>
                  <a:rPr lang="en-US"/>
                  <a:t>Q</a:t>
                </a:r>
                <a:r>
                  <a:rPr lang="ru-RU"/>
                  <a:t>ном, %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1534364416"/>
        <c:crosses val="autoZero"/>
        <c:auto val="1"/>
        <c:lblAlgn val="ctr"/>
        <c:lblOffset val="100"/>
        <c:noMultiLvlLbl val="0"/>
      </c:catAx>
      <c:valAx>
        <c:axId val="1534364416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ru-RU"/>
                  <a:t>Номинальная</a:t>
                </a:r>
                <a:r>
                  <a:rPr lang="ru-RU" baseline="0"/>
                  <a:t> тепловая мощность реактора, %</a:t>
                </a:r>
                <a:endParaRPr lang="ru-RU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1534356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201838</xdr:colOff>
      <xdr:row>9</xdr:row>
      <xdr:rowOff>119720</xdr:rowOff>
    </xdr:from>
    <xdr:to>
      <xdr:col>14</xdr:col>
      <xdr:colOff>158225</xdr:colOff>
      <xdr:row>21</xdr:row>
      <xdr:rowOff>27991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2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Баланс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0"/>
  <sheetViews>
    <sheetView topLeftCell="I1" workbookViewId="0">
      <selection activeCell="Z7" sqref="Z7"/>
    </sheetView>
  </sheetViews>
  <sheetFormatPr defaultRowHeight="15" x14ac:dyDescent="0.25"/>
  <cols>
    <col min="8" max="9" width="16" customWidth="1"/>
    <col min="10" max="10" width="19.28515625" customWidth="1"/>
    <col min="11" max="11" width="19.140625" customWidth="1"/>
    <col min="12" max="12" width="15.85546875" customWidth="1"/>
    <col min="15" max="15" width="17" customWidth="1"/>
    <col min="25" max="25" width="17.85546875" customWidth="1"/>
    <col min="27" max="28" width="16.42578125" customWidth="1"/>
    <col min="29" max="29" width="15.85546875" customWidth="1"/>
    <col min="30" max="30" width="17" customWidth="1"/>
  </cols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5">
      <c r="A2">
        <v>730</v>
      </c>
      <c r="B2">
        <v>550</v>
      </c>
      <c r="C2">
        <v>715</v>
      </c>
      <c r="D2">
        <v>450</v>
      </c>
      <c r="E2">
        <v>40</v>
      </c>
      <c r="F2">
        <v>70</v>
      </c>
      <c r="G2">
        <v>11.752136752136749</v>
      </c>
      <c r="H2">
        <v>7.9825834542815679</v>
      </c>
      <c r="I2">
        <v>21.931985695161739</v>
      </c>
      <c r="J2">
        <v>2.75</v>
      </c>
      <c r="K2">
        <v>2.75</v>
      </c>
      <c r="L2">
        <v>2.75</v>
      </c>
      <c r="M2">
        <v>15</v>
      </c>
      <c r="N2">
        <v>100</v>
      </c>
      <c r="O2">
        <v>44.804757040769388</v>
      </c>
      <c r="P2">
        <v>645</v>
      </c>
      <c r="Q2">
        <v>410</v>
      </c>
      <c r="R2">
        <v>518.65713776267182</v>
      </c>
      <c r="S2">
        <v>1.2</v>
      </c>
      <c r="T2">
        <v>1</v>
      </c>
      <c r="U2">
        <v>1.6</v>
      </c>
      <c r="V2">
        <v>0.06</v>
      </c>
      <c r="W2">
        <v>0.05</v>
      </c>
      <c r="X2">
        <v>0.08</v>
      </c>
      <c r="Y2">
        <v>1.106083459024636</v>
      </c>
      <c r="Z2">
        <v>0.62608497680639752</v>
      </c>
      <c r="AA2">
        <v>2.4117647499834209</v>
      </c>
      <c r="AB2">
        <v>4.1439331858144541</v>
      </c>
      <c r="AC2">
        <v>4179.5881112073057</v>
      </c>
      <c r="AD2" t="b">
        <v>1</v>
      </c>
      <c r="AE2" t="s">
        <v>31</v>
      </c>
    </row>
    <row r="3" spans="1:31" x14ac:dyDescent="0.25">
      <c r="A3">
        <v>730</v>
      </c>
      <c r="B3">
        <v>550</v>
      </c>
      <c r="C3">
        <v>715</v>
      </c>
      <c r="D3">
        <v>455</v>
      </c>
      <c r="E3">
        <v>40</v>
      </c>
      <c r="F3">
        <v>70</v>
      </c>
      <c r="G3">
        <v>11.752136752136749</v>
      </c>
      <c r="H3">
        <v>8.1360946745562135</v>
      </c>
      <c r="I3">
        <v>21.931985695161739</v>
      </c>
      <c r="J3">
        <v>2.75</v>
      </c>
      <c r="K3">
        <v>2.75</v>
      </c>
      <c r="L3">
        <v>2.75</v>
      </c>
      <c r="M3">
        <v>15</v>
      </c>
      <c r="N3">
        <v>95</v>
      </c>
      <c r="O3">
        <v>43.341013764624797</v>
      </c>
      <c r="P3">
        <v>645</v>
      </c>
      <c r="Q3">
        <v>415</v>
      </c>
      <c r="R3">
        <v>521.57530661047372</v>
      </c>
      <c r="S3">
        <v>1.2</v>
      </c>
      <c r="T3">
        <v>1</v>
      </c>
      <c r="U3">
        <v>1.6</v>
      </c>
      <c r="V3">
        <v>0.06</v>
      </c>
      <c r="W3">
        <v>0.05</v>
      </c>
      <c r="X3">
        <v>0.08</v>
      </c>
      <c r="Y3">
        <v>1.106083459024636</v>
      </c>
      <c r="Z3">
        <v>0.6381250725142128</v>
      </c>
      <c r="AA3">
        <v>2.4117647499834209</v>
      </c>
      <c r="AB3">
        <v>4.1559732815222699</v>
      </c>
      <c r="AC3">
        <v>4179.5881112073057</v>
      </c>
      <c r="AD3" t="b">
        <v>1</v>
      </c>
      <c r="AE3" t="s">
        <v>31</v>
      </c>
    </row>
    <row r="4" spans="1:31" x14ac:dyDescent="0.25">
      <c r="A4">
        <v>730</v>
      </c>
      <c r="B4">
        <v>550</v>
      </c>
      <c r="C4">
        <v>715</v>
      </c>
      <c r="D4">
        <v>460</v>
      </c>
      <c r="E4">
        <v>40</v>
      </c>
      <c r="F4">
        <v>70</v>
      </c>
      <c r="G4">
        <v>11.752136752136749</v>
      </c>
      <c r="H4">
        <v>8.2956259426847669</v>
      </c>
      <c r="I4">
        <v>21.931985695161739</v>
      </c>
      <c r="J4">
        <v>2.75</v>
      </c>
      <c r="K4">
        <v>2.75</v>
      </c>
      <c r="L4">
        <v>2.75</v>
      </c>
      <c r="M4">
        <v>15</v>
      </c>
      <c r="N4">
        <v>90</v>
      </c>
      <c r="O4">
        <v>41.858296991343543</v>
      </c>
      <c r="P4">
        <v>645</v>
      </c>
      <c r="Q4">
        <v>420</v>
      </c>
      <c r="R4">
        <v>524.4808970202173</v>
      </c>
      <c r="S4">
        <v>1.2</v>
      </c>
      <c r="T4">
        <v>1</v>
      </c>
      <c r="U4">
        <v>1.6</v>
      </c>
      <c r="V4">
        <v>0.06</v>
      </c>
      <c r="W4">
        <v>0.05</v>
      </c>
      <c r="X4">
        <v>0.08</v>
      </c>
      <c r="Y4">
        <v>1.106083459024636</v>
      </c>
      <c r="Z4">
        <v>0.65063732883802083</v>
      </c>
      <c r="AA4">
        <v>2.4117647499834209</v>
      </c>
      <c r="AB4">
        <v>4.1684855378460766</v>
      </c>
      <c r="AC4">
        <v>4179.5881112073057</v>
      </c>
      <c r="AD4" t="b">
        <v>1</v>
      </c>
      <c r="AE4" t="s">
        <v>31</v>
      </c>
    </row>
    <row r="5" spans="1:31" x14ac:dyDescent="0.25">
      <c r="A5">
        <v>730</v>
      </c>
      <c r="B5">
        <v>550</v>
      </c>
      <c r="C5">
        <v>715</v>
      </c>
      <c r="D5">
        <v>465</v>
      </c>
      <c r="E5">
        <v>40</v>
      </c>
      <c r="F5">
        <v>70</v>
      </c>
      <c r="G5">
        <v>11.752136752136749</v>
      </c>
      <c r="H5">
        <v>8.4615384615384617</v>
      </c>
      <c r="I5">
        <v>21.931985695161739</v>
      </c>
      <c r="J5">
        <v>2.75</v>
      </c>
      <c r="K5">
        <v>2.75</v>
      </c>
      <c r="L5">
        <v>2.75</v>
      </c>
      <c r="M5">
        <v>15</v>
      </c>
      <c r="N5">
        <v>85</v>
      </c>
      <c r="O5">
        <v>40.355100547507703</v>
      </c>
      <c r="P5">
        <v>645</v>
      </c>
      <c r="Q5">
        <v>425</v>
      </c>
      <c r="R5">
        <v>527.3741361643863</v>
      </c>
      <c r="S5">
        <v>1.2</v>
      </c>
      <c r="T5">
        <v>1</v>
      </c>
      <c r="U5">
        <v>1.6</v>
      </c>
      <c r="V5">
        <v>0.06</v>
      </c>
      <c r="W5">
        <v>0.05</v>
      </c>
      <c r="X5">
        <v>0.08</v>
      </c>
      <c r="Y5">
        <v>1.106083459024636</v>
      </c>
      <c r="Z5">
        <v>0.66365007541478138</v>
      </c>
      <c r="AA5">
        <v>2.4117647499834209</v>
      </c>
      <c r="AB5">
        <v>4.1814982844228377</v>
      </c>
      <c r="AC5">
        <v>4179.5881112073057</v>
      </c>
      <c r="AD5" t="b">
        <v>1</v>
      </c>
      <c r="AE5" t="s">
        <v>31</v>
      </c>
    </row>
    <row r="6" spans="1:31" x14ac:dyDescent="0.25">
      <c r="A6">
        <v>730</v>
      </c>
      <c r="B6">
        <v>550</v>
      </c>
      <c r="C6">
        <v>715</v>
      </c>
      <c r="D6">
        <v>470</v>
      </c>
      <c r="E6">
        <v>40</v>
      </c>
      <c r="F6">
        <v>70</v>
      </c>
      <c r="G6">
        <v>11.752136752136749</v>
      </c>
      <c r="H6">
        <v>8.6342229199372049</v>
      </c>
      <c r="I6">
        <v>21.931985695161739</v>
      </c>
      <c r="J6">
        <v>2.75</v>
      </c>
      <c r="K6">
        <v>2.75</v>
      </c>
      <c r="L6">
        <v>2.75</v>
      </c>
      <c r="M6">
        <v>15</v>
      </c>
      <c r="N6">
        <v>80</v>
      </c>
      <c r="O6">
        <v>38.829698373538669</v>
      </c>
      <c r="P6">
        <v>645</v>
      </c>
      <c r="Q6">
        <v>430</v>
      </c>
      <c r="R6">
        <v>530.25524441093285</v>
      </c>
      <c r="S6">
        <v>1.2</v>
      </c>
      <c r="T6">
        <v>1</v>
      </c>
      <c r="U6">
        <v>1.6</v>
      </c>
      <c r="V6">
        <v>0.06</v>
      </c>
      <c r="W6">
        <v>0.05</v>
      </c>
      <c r="X6">
        <v>0.08</v>
      </c>
      <c r="Y6">
        <v>1.106083459024636</v>
      </c>
      <c r="Z6">
        <v>0.67719395450487885</v>
      </c>
      <c r="AA6">
        <v>2.4117647499834209</v>
      </c>
      <c r="AB6">
        <v>4.1950421635129356</v>
      </c>
      <c r="AC6">
        <v>4179.5881112073057</v>
      </c>
      <c r="AD6" t="b">
        <v>1</v>
      </c>
      <c r="AE6" t="s">
        <v>31</v>
      </c>
    </row>
    <row r="7" spans="1:31" x14ac:dyDescent="0.25">
      <c r="A7">
        <v>730</v>
      </c>
      <c r="B7">
        <v>550</v>
      </c>
      <c r="C7">
        <v>715</v>
      </c>
      <c r="D7">
        <v>475</v>
      </c>
      <c r="E7">
        <v>40</v>
      </c>
      <c r="F7">
        <v>70</v>
      </c>
      <c r="G7">
        <v>11.752136752136749</v>
      </c>
      <c r="H7">
        <v>8.8141025641025639</v>
      </c>
      <c r="I7">
        <v>21.931985695161739</v>
      </c>
      <c r="J7">
        <v>2.75</v>
      </c>
      <c r="K7">
        <v>2.75</v>
      </c>
      <c r="L7">
        <v>2.75</v>
      </c>
      <c r="M7">
        <v>15</v>
      </c>
      <c r="N7">
        <v>75</v>
      </c>
      <c r="O7">
        <v>37.280096073576708</v>
      </c>
      <c r="P7">
        <v>645</v>
      </c>
      <c r="Q7">
        <v>435</v>
      </c>
      <c r="R7">
        <v>533.12443560504516</v>
      </c>
      <c r="S7">
        <v>1.2</v>
      </c>
      <c r="T7">
        <v>1</v>
      </c>
      <c r="U7">
        <v>1.6</v>
      </c>
      <c r="V7">
        <v>0.06</v>
      </c>
      <c r="W7">
        <v>0.05</v>
      </c>
      <c r="X7">
        <v>0.08</v>
      </c>
      <c r="Y7">
        <v>1.106083459024636</v>
      </c>
      <c r="Z7">
        <v>0.69130216189039717</v>
      </c>
      <c r="AA7">
        <v>2.4117647499834209</v>
      </c>
      <c r="AB7">
        <v>4.2091503708984526</v>
      </c>
      <c r="AC7">
        <v>4179.5881112073057</v>
      </c>
      <c r="AD7" t="b">
        <v>1</v>
      </c>
      <c r="AE7" t="s">
        <v>31</v>
      </c>
    </row>
    <row r="8" spans="1:31" x14ac:dyDescent="0.25">
      <c r="A8">
        <v>730</v>
      </c>
      <c r="B8">
        <v>550</v>
      </c>
      <c r="C8">
        <v>715</v>
      </c>
      <c r="D8">
        <v>480</v>
      </c>
      <c r="E8">
        <v>40</v>
      </c>
      <c r="F8">
        <v>70</v>
      </c>
      <c r="G8">
        <v>11.752136752136749</v>
      </c>
      <c r="H8">
        <v>9.0016366612111298</v>
      </c>
      <c r="I8">
        <v>21.931985695161739</v>
      </c>
      <c r="J8">
        <v>2.75</v>
      </c>
      <c r="K8">
        <v>2.75</v>
      </c>
      <c r="L8">
        <v>2.75</v>
      </c>
      <c r="M8">
        <v>15</v>
      </c>
      <c r="N8">
        <v>70</v>
      </c>
      <c r="O8">
        <v>35.703967709346529</v>
      </c>
      <c r="P8">
        <v>645</v>
      </c>
      <c r="Q8">
        <v>440</v>
      </c>
      <c r="R8">
        <v>535.98191733611111</v>
      </c>
      <c r="S8">
        <v>1.2</v>
      </c>
      <c r="T8">
        <v>1</v>
      </c>
      <c r="U8">
        <v>1.6</v>
      </c>
      <c r="V8">
        <v>0.06</v>
      </c>
      <c r="W8">
        <v>0.05</v>
      </c>
      <c r="X8">
        <v>0.08</v>
      </c>
      <c r="Y8">
        <v>1.106083459024636</v>
      </c>
      <c r="Z8">
        <v>0.7060107185263631</v>
      </c>
      <c r="AA8">
        <v>2.4117647499834209</v>
      </c>
      <c r="AB8">
        <v>4.2238589275344198</v>
      </c>
      <c r="AC8">
        <v>4179.5881112073057</v>
      </c>
      <c r="AD8" t="b">
        <v>1</v>
      </c>
      <c r="AE8" t="s">
        <v>31</v>
      </c>
    </row>
    <row r="9" spans="1:31" x14ac:dyDescent="0.25">
      <c r="A9">
        <v>730</v>
      </c>
      <c r="B9">
        <v>550</v>
      </c>
      <c r="C9">
        <v>715</v>
      </c>
      <c r="D9">
        <v>485</v>
      </c>
      <c r="E9">
        <v>40</v>
      </c>
      <c r="F9">
        <v>70</v>
      </c>
      <c r="G9">
        <v>11.752136752136749</v>
      </c>
      <c r="H9">
        <v>9.1973244147157196</v>
      </c>
      <c r="I9">
        <v>21.931985695161739</v>
      </c>
      <c r="J9">
        <v>2.75</v>
      </c>
      <c r="K9">
        <v>2.75</v>
      </c>
      <c r="L9">
        <v>2.75</v>
      </c>
      <c r="M9">
        <v>15</v>
      </c>
      <c r="N9">
        <v>65</v>
      </c>
      <c r="O9">
        <v>34.098571920535584</v>
      </c>
      <c r="P9">
        <v>645</v>
      </c>
      <c r="Q9">
        <v>445</v>
      </c>
      <c r="R9">
        <v>538.82789119081554</v>
      </c>
      <c r="S9">
        <v>1.2</v>
      </c>
      <c r="T9">
        <v>1</v>
      </c>
      <c r="U9">
        <v>1.6</v>
      </c>
      <c r="V9">
        <v>0.06</v>
      </c>
      <c r="W9">
        <v>0.05</v>
      </c>
      <c r="X9">
        <v>0.08</v>
      </c>
      <c r="Y9">
        <v>1.106083459024636</v>
      </c>
      <c r="Z9">
        <v>0.7213587776247623</v>
      </c>
      <c r="AA9">
        <v>2.4117647499834209</v>
      </c>
      <c r="AB9">
        <v>4.2392069866328193</v>
      </c>
      <c r="AC9">
        <v>4179.5881112073057</v>
      </c>
      <c r="AD9" t="b">
        <v>1</v>
      </c>
      <c r="AE9" t="s">
        <v>31</v>
      </c>
    </row>
    <row r="10" spans="1:31" x14ac:dyDescent="0.25">
      <c r="A10">
        <v>730</v>
      </c>
      <c r="B10">
        <v>550</v>
      </c>
      <c r="C10">
        <v>715</v>
      </c>
      <c r="D10">
        <v>490</v>
      </c>
      <c r="E10">
        <v>40</v>
      </c>
      <c r="F10">
        <v>70</v>
      </c>
      <c r="G10">
        <v>11.752136752136749</v>
      </c>
      <c r="H10">
        <v>9.4017094017094021</v>
      </c>
      <c r="I10">
        <v>21.931985695161739</v>
      </c>
      <c r="J10">
        <v>2.75</v>
      </c>
      <c r="K10">
        <v>2.75</v>
      </c>
      <c r="L10">
        <v>2.75</v>
      </c>
      <c r="M10">
        <v>15</v>
      </c>
      <c r="N10">
        <v>60</v>
      </c>
      <c r="O10">
        <v>32.460638420001679</v>
      </c>
      <c r="P10">
        <v>645</v>
      </c>
      <c r="Q10">
        <v>450</v>
      </c>
      <c r="R10">
        <v>541.66255299324473</v>
      </c>
      <c r="S10">
        <v>1.2</v>
      </c>
      <c r="T10">
        <v>1</v>
      </c>
      <c r="U10">
        <v>1.6</v>
      </c>
      <c r="V10">
        <v>0.06</v>
      </c>
      <c r="W10">
        <v>0.05</v>
      </c>
      <c r="X10">
        <v>0.08</v>
      </c>
      <c r="Y10">
        <v>1.106083459024636</v>
      </c>
      <c r="Z10">
        <v>0.73738897268309045</v>
      </c>
      <c r="AA10">
        <v>2.4117647499834209</v>
      </c>
      <c r="AB10">
        <v>4.2552371816911467</v>
      </c>
      <c r="AC10">
        <v>4179.5881112073057</v>
      </c>
      <c r="AD10" t="b">
        <v>1</v>
      </c>
      <c r="AE10" t="s">
        <v>31</v>
      </c>
    </row>
    <row r="11" spans="1:31" x14ac:dyDescent="0.25">
      <c r="A11">
        <v>730</v>
      </c>
      <c r="B11">
        <v>550</v>
      </c>
      <c r="C11">
        <v>715</v>
      </c>
      <c r="D11">
        <v>495</v>
      </c>
      <c r="E11">
        <v>40</v>
      </c>
      <c r="F11">
        <v>70</v>
      </c>
      <c r="G11">
        <v>11.752136752136749</v>
      </c>
      <c r="H11">
        <v>9.615384615384615</v>
      </c>
      <c r="I11">
        <v>21.931985695161739</v>
      </c>
      <c r="J11">
        <v>2.75</v>
      </c>
      <c r="K11">
        <v>2.75</v>
      </c>
      <c r="L11">
        <v>2.75</v>
      </c>
      <c r="M11">
        <v>15</v>
      </c>
      <c r="N11">
        <v>55</v>
      </c>
      <c r="O11">
        <v>30.78621092446306</v>
      </c>
      <c r="P11">
        <v>645</v>
      </c>
      <c r="Q11">
        <v>455</v>
      </c>
      <c r="R11">
        <v>544.48609303279716</v>
      </c>
      <c r="S11">
        <v>1.2</v>
      </c>
      <c r="T11">
        <v>1</v>
      </c>
      <c r="U11">
        <v>1.6</v>
      </c>
      <c r="V11">
        <v>0.06</v>
      </c>
      <c r="W11">
        <v>0.05</v>
      </c>
      <c r="X11">
        <v>0.08</v>
      </c>
      <c r="Y11">
        <v>1.106083459024636</v>
      </c>
      <c r="Z11">
        <v>0.75414781297134237</v>
      </c>
      <c r="AA11">
        <v>2.4117647499834209</v>
      </c>
      <c r="AB11">
        <v>4.2719960219793993</v>
      </c>
      <c r="AC11">
        <v>4179.5881112073057</v>
      </c>
      <c r="AD11" t="b">
        <v>1</v>
      </c>
      <c r="AE11" t="s">
        <v>31</v>
      </c>
    </row>
    <row r="12" spans="1:31" x14ac:dyDescent="0.25">
      <c r="A12">
        <v>730</v>
      </c>
      <c r="B12">
        <v>550</v>
      </c>
      <c r="C12">
        <v>715</v>
      </c>
      <c r="D12">
        <v>500</v>
      </c>
      <c r="E12">
        <v>40</v>
      </c>
      <c r="F12">
        <v>70</v>
      </c>
      <c r="G12">
        <v>11.752136752136749</v>
      </c>
      <c r="H12">
        <v>9.8389982110912335</v>
      </c>
      <c r="I12">
        <v>21.931985695161739</v>
      </c>
      <c r="J12">
        <v>2.75</v>
      </c>
      <c r="K12">
        <v>2.75</v>
      </c>
      <c r="L12">
        <v>2.75</v>
      </c>
      <c r="M12">
        <v>15</v>
      </c>
      <c r="N12">
        <v>50</v>
      </c>
      <c r="O12">
        <v>29.070424077888809</v>
      </c>
      <c r="P12">
        <v>645</v>
      </c>
      <c r="Q12">
        <v>460</v>
      </c>
      <c r="R12">
        <v>547.29869628065308</v>
      </c>
      <c r="S12">
        <v>1.2</v>
      </c>
      <c r="T12">
        <v>1</v>
      </c>
      <c r="U12">
        <v>1.6</v>
      </c>
      <c r="V12">
        <v>0.06</v>
      </c>
      <c r="W12">
        <v>0.05</v>
      </c>
      <c r="X12">
        <v>0.08</v>
      </c>
      <c r="Y12">
        <v>1.106083459024636</v>
      </c>
      <c r="Z12">
        <v>0.77168613420323395</v>
      </c>
      <c r="AA12">
        <v>2.4117647499834209</v>
      </c>
      <c r="AB12">
        <v>4.2895343432112902</v>
      </c>
      <c r="AC12">
        <v>4179.5881112073057</v>
      </c>
      <c r="AD12" t="b">
        <v>1</v>
      </c>
      <c r="AE12" t="s">
        <v>31</v>
      </c>
    </row>
    <row r="13" spans="1:31" x14ac:dyDescent="0.25">
      <c r="A13">
        <v>730</v>
      </c>
      <c r="B13">
        <v>550</v>
      </c>
      <c r="C13">
        <v>715</v>
      </c>
      <c r="D13">
        <v>505</v>
      </c>
      <c r="E13">
        <v>40</v>
      </c>
      <c r="F13">
        <v>70</v>
      </c>
      <c r="G13">
        <v>11.752136752136749</v>
      </c>
      <c r="H13">
        <v>10.073260073260069</v>
      </c>
      <c r="I13">
        <v>21.931985695161739</v>
      </c>
      <c r="J13">
        <v>2.75</v>
      </c>
      <c r="K13">
        <v>2.75</v>
      </c>
      <c r="L13">
        <v>2.75</v>
      </c>
      <c r="M13">
        <v>15</v>
      </c>
      <c r="N13">
        <v>45</v>
      </c>
      <c r="O13">
        <v>27.30717679880512</v>
      </c>
      <c r="P13">
        <v>645</v>
      </c>
      <c r="Q13">
        <v>465</v>
      </c>
      <c r="R13">
        <v>550.10054259549111</v>
      </c>
      <c r="S13">
        <v>1.2</v>
      </c>
      <c r="T13">
        <v>1</v>
      </c>
      <c r="U13">
        <v>1.6</v>
      </c>
      <c r="V13">
        <v>0.06</v>
      </c>
      <c r="W13">
        <v>0.05</v>
      </c>
      <c r="X13">
        <v>0.08</v>
      </c>
      <c r="Y13">
        <v>1.106083459024636</v>
      </c>
      <c r="Z13">
        <v>0.79005961358902543</v>
      </c>
      <c r="AA13">
        <v>2.4117647499834209</v>
      </c>
      <c r="AB13">
        <v>4.3079078225970822</v>
      </c>
      <c r="AC13">
        <v>4179.5881112073057</v>
      </c>
      <c r="AD13" t="b">
        <v>1</v>
      </c>
      <c r="AE13" t="s">
        <v>31</v>
      </c>
    </row>
    <row r="14" spans="1:31" x14ac:dyDescent="0.25">
      <c r="A14">
        <v>730</v>
      </c>
      <c r="B14">
        <v>550</v>
      </c>
      <c r="C14">
        <v>715</v>
      </c>
      <c r="D14">
        <v>510</v>
      </c>
      <c r="E14">
        <v>40</v>
      </c>
      <c r="F14">
        <v>70</v>
      </c>
      <c r="G14">
        <v>11.752136752136749</v>
      </c>
      <c r="H14">
        <v>10.31894934333959</v>
      </c>
      <c r="I14">
        <v>21.931985695161739</v>
      </c>
      <c r="J14">
        <v>2.75</v>
      </c>
      <c r="K14">
        <v>2.75</v>
      </c>
      <c r="L14">
        <v>2.75</v>
      </c>
      <c r="M14">
        <v>15</v>
      </c>
      <c r="N14">
        <v>40</v>
      </c>
      <c r="O14">
        <v>25.488636195581659</v>
      </c>
      <c r="P14">
        <v>645</v>
      </c>
      <c r="Q14">
        <v>470</v>
      </c>
      <c r="R14">
        <v>552.89180691910224</v>
      </c>
      <c r="S14">
        <v>1.2</v>
      </c>
      <c r="T14">
        <v>1</v>
      </c>
      <c r="U14">
        <v>1.6</v>
      </c>
      <c r="V14">
        <v>0.06</v>
      </c>
      <c r="W14">
        <v>0.05</v>
      </c>
      <c r="X14">
        <v>0.08</v>
      </c>
      <c r="Y14">
        <v>1.106083459024636</v>
      </c>
      <c r="Z14">
        <v>0.80932936026192837</v>
      </c>
      <c r="AA14">
        <v>2.4117647499834209</v>
      </c>
      <c r="AB14">
        <v>4.3271775692699848</v>
      </c>
      <c r="AC14">
        <v>4179.5881112073057</v>
      </c>
      <c r="AD14" t="b">
        <v>1</v>
      </c>
      <c r="AE14" t="s">
        <v>31</v>
      </c>
    </row>
    <row r="15" spans="1:31" x14ac:dyDescent="0.25">
      <c r="A15">
        <v>730</v>
      </c>
      <c r="B15">
        <v>550</v>
      </c>
      <c r="C15">
        <v>715</v>
      </c>
      <c r="D15">
        <v>515</v>
      </c>
      <c r="E15">
        <v>40</v>
      </c>
      <c r="F15">
        <v>70</v>
      </c>
      <c r="G15">
        <v>11.752136752136749</v>
      </c>
      <c r="H15">
        <v>10.57692307692308</v>
      </c>
      <c r="I15">
        <v>21.931985695161739</v>
      </c>
      <c r="J15">
        <v>2.75</v>
      </c>
      <c r="K15">
        <v>2.75</v>
      </c>
      <c r="L15">
        <v>2.75</v>
      </c>
      <c r="M15">
        <v>15</v>
      </c>
      <c r="N15">
        <v>35</v>
      </c>
      <c r="O15">
        <v>23.60445002287657</v>
      </c>
      <c r="P15">
        <v>645</v>
      </c>
      <c r="Q15">
        <v>475</v>
      </c>
      <c r="R15">
        <v>555.67265946249529</v>
      </c>
      <c r="S15">
        <v>1.2</v>
      </c>
      <c r="T15">
        <v>1</v>
      </c>
      <c r="U15">
        <v>1.6</v>
      </c>
      <c r="V15">
        <v>0.06</v>
      </c>
      <c r="W15">
        <v>0.05</v>
      </c>
      <c r="X15">
        <v>0.08</v>
      </c>
      <c r="Y15">
        <v>1.106083459024636</v>
      </c>
      <c r="Z15">
        <v>0.82956259426847656</v>
      </c>
      <c r="AA15">
        <v>2.4117647499834209</v>
      </c>
      <c r="AB15">
        <v>4.3474108032765333</v>
      </c>
      <c r="AC15">
        <v>4179.5881112073057</v>
      </c>
      <c r="AD15" t="b">
        <v>1</v>
      </c>
      <c r="AE15" t="s">
        <v>31</v>
      </c>
    </row>
    <row r="16" spans="1:31" x14ac:dyDescent="0.25">
      <c r="A16">
        <v>730</v>
      </c>
      <c r="B16">
        <v>550</v>
      </c>
      <c r="C16">
        <v>715</v>
      </c>
      <c r="D16">
        <v>520</v>
      </c>
      <c r="E16">
        <v>40</v>
      </c>
      <c r="F16">
        <v>70</v>
      </c>
      <c r="G16">
        <v>11.752136752136749</v>
      </c>
      <c r="H16">
        <v>10.84812623274162</v>
      </c>
      <c r="I16">
        <v>21.931985695161739</v>
      </c>
      <c r="J16">
        <v>2.75</v>
      </c>
      <c r="K16">
        <v>2.75</v>
      </c>
      <c r="L16">
        <v>2.75</v>
      </c>
      <c r="M16">
        <v>15</v>
      </c>
      <c r="N16">
        <v>30</v>
      </c>
      <c r="O16">
        <v>21.64042561333445</v>
      </c>
      <c r="P16">
        <v>645</v>
      </c>
      <c r="Q16">
        <v>480</v>
      </c>
      <c r="R16">
        <v>558.44326588305512</v>
      </c>
      <c r="S16">
        <v>1.2</v>
      </c>
      <c r="T16">
        <v>1</v>
      </c>
      <c r="U16">
        <v>1.6</v>
      </c>
      <c r="V16">
        <v>0.06</v>
      </c>
      <c r="W16">
        <v>0.05</v>
      </c>
      <c r="X16">
        <v>0.08</v>
      </c>
      <c r="Y16">
        <v>1.106083459024636</v>
      </c>
      <c r="Z16">
        <v>0.8508334300189504</v>
      </c>
      <c r="AA16">
        <v>2.4117647499834209</v>
      </c>
      <c r="AB16">
        <v>4.3686816390270069</v>
      </c>
      <c r="AC16">
        <v>4179.5881112073057</v>
      </c>
      <c r="AD16" t="b">
        <v>1</v>
      </c>
      <c r="AE16" t="s">
        <v>31</v>
      </c>
    </row>
    <row r="17" spans="1:31" x14ac:dyDescent="0.25">
      <c r="A17">
        <v>730</v>
      </c>
      <c r="B17">
        <v>550</v>
      </c>
      <c r="C17">
        <v>715</v>
      </c>
      <c r="D17">
        <v>525</v>
      </c>
      <c r="E17">
        <v>40</v>
      </c>
      <c r="F17">
        <v>70</v>
      </c>
      <c r="G17">
        <v>11.752136752136749</v>
      </c>
      <c r="H17">
        <v>11.133603238866399</v>
      </c>
      <c r="I17">
        <v>21.931985695161739</v>
      </c>
      <c r="J17">
        <v>2.75</v>
      </c>
      <c r="K17">
        <v>2.75</v>
      </c>
      <c r="L17">
        <v>2.75</v>
      </c>
      <c r="M17">
        <v>15</v>
      </c>
      <c r="N17">
        <v>25</v>
      </c>
      <c r="O17">
        <v>19.576151889712179</v>
      </c>
      <c r="P17">
        <v>645</v>
      </c>
      <c r="Q17">
        <v>485</v>
      </c>
      <c r="R17">
        <v>561.2037874532715</v>
      </c>
      <c r="S17">
        <v>1.2</v>
      </c>
      <c r="T17">
        <v>1</v>
      </c>
      <c r="U17">
        <v>1.6</v>
      </c>
      <c r="V17">
        <v>0.06</v>
      </c>
      <c r="W17">
        <v>0.05</v>
      </c>
      <c r="X17">
        <v>0.08</v>
      </c>
      <c r="Y17">
        <v>1.106083459024636</v>
      </c>
      <c r="Z17">
        <v>0.87322378344050178</v>
      </c>
      <c r="AA17">
        <v>2.4117647499834209</v>
      </c>
      <c r="AB17">
        <v>4.3910719924485582</v>
      </c>
      <c r="AC17">
        <v>4179.5881112073057</v>
      </c>
      <c r="AD17" t="b">
        <v>1</v>
      </c>
      <c r="AE17" t="s">
        <v>31</v>
      </c>
    </row>
    <row r="18" spans="1:31" x14ac:dyDescent="0.25">
      <c r="A18">
        <v>730</v>
      </c>
      <c r="B18">
        <v>550</v>
      </c>
      <c r="C18">
        <v>715</v>
      </c>
      <c r="D18">
        <v>530</v>
      </c>
      <c r="E18">
        <v>40</v>
      </c>
      <c r="F18">
        <v>70</v>
      </c>
      <c r="G18">
        <v>11.752136752136749</v>
      </c>
      <c r="H18">
        <v>11.434511434511441</v>
      </c>
      <c r="I18">
        <v>21.931985695161739</v>
      </c>
      <c r="J18">
        <v>2.75</v>
      </c>
      <c r="K18">
        <v>2.75</v>
      </c>
      <c r="L18">
        <v>2.75</v>
      </c>
      <c r="M18">
        <v>15</v>
      </c>
      <c r="N18">
        <v>20</v>
      </c>
      <c r="O18">
        <v>17.38029748391104</v>
      </c>
      <c r="P18">
        <v>645</v>
      </c>
      <c r="Q18">
        <v>490</v>
      </c>
      <c r="R18">
        <v>563.95438122152348</v>
      </c>
      <c r="S18">
        <v>1.2</v>
      </c>
      <c r="T18">
        <v>1</v>
      </c>
      <c r="U18">
        <v>1.6</v>
      </c>
      <c r="V18">
        <v>0.06</v>
      </c>
      <c r="W18">
        <v>0.05</v>
      </c>
      <c r="X18">
        <v>0.08</v>
      </c>
      <c r="Y18">
        <v>1.106083459024636</v>
      </c>
      <c r="Z18">
        <v>0.89682442623619096</v>
      </c>
      <c r="AA18">
        <v>2.4117647499834209</v>
      </c>
      <c r="AB18">
        <v>4.4146726352442478</v>
      </c>
      <c r="AC18">
        <v>4179.5881112073057</v>
      </c>
      <c r="AD18" t="b">
        <v>1</v>
      </c>
      <c r="AE18" t="s">
        <v>31</v>
      </c>
    </row>
    <row r="19" spans="1:31" x14ac:dyDescent="0.25">
      <c r="A19">
        <v>730</v>
      </c>
      <c r="B19">
        <v>550</v>
      </c>
      <c r="C19">
        <v>715</v>
      </c>
      <c r="D19">
        <v>535</v>
      </c>
      <c r="E19">
        <v>40</v>
      </c>
      <c r="F19">
        <v>70</v>
      </c>
      <c r="G19">
        <v>11.752136752136749</v>
      </c>
      <c r="H19">
        <v>11.752136752136749</v>
      </c>
      <c r="I19">
        <v>21.931985695161739</v>
      </c>
      <c r="J19">
        <v>2.75</v>
      </c>
      <c r="K19">
        <v>2.75</v>
      </c>
      <c r="L19">
        <v>2.75</v>
      </c>
      <c r="M19">
        <v>15</v>
      </c>
      <c r="N19">
        <v>15</v>
      </c>
      <c r="O19">
        <v>15</v>
      </c>
      <c r="P19">
        <v>645</v>
      </c>
      <c r="Q19">
        <v>495</v>
      </c>
      <c r="R19">
        <v>566.6952001653724</v>
      </c>
      <c r="S19">
        <v>1.2</v>
      </c>
      <c r="T19">
        <v>1</v>
      </c>
      <c r="U19">
        <v>1.6</v>
      </c>
      <c r="V19">
        <v>0.06</v>
      </c>
      <c r="W19">
        <v>0.05</v>
      </c>
      <c r="X19">
        <v>0.08</v>
      </c>
      <c r="Y19">
        <v>1.106083459024636</v>
      </c>
      <c r="Z19">
        <v>0.92173621585386301</v>
      </c>
      <c r="AA19">
        <v>2.4117647499834209</v>
      </c>
      <c r="AB19">
        <v>4.4395844248619198</v>
      </c>
      <c r="AC19">
        <v>4179.5881112073057</v>
      </c>
      <c r="AD19" t="b">
        <v>1</v>
      </c>
      <c r="AE19" t="s">
        <v>31</v>
      </c>
    </row>
    <row r="20" spans="1:31" x14ac:dyDescent="0.25">
      <c r="A20">
        <v>730</v>
      </c>
      <c r="B20">
        <v>550</v>
      </c>
      <c r="C20">
        <v>715</v>
      </c>
      <c r="D20">
        <v>540</v>
      </c>
      <c r="E20">
        <v>40</v>
      </c>
      <c r="F20">
        <v>70</v>
      </c>
      <c r="G20">
        <v>11.752136752136749</v>
      </c>
      <c r="H20">
        <v>12.087912087912089</v>
      </c>
      <c r="I20">
        <v>21.931985695161739</v>
      </c>
      <c r="J20">
        <v>2.75</v>
      </c>
      <c r="K20">
        <v>2.75</v>
      </c>
      <c r="L20">
        <v>2.75</v>
      </c>
      <c r="M20">
        <v>15</v>
      </c>
      <c r="N20">
        <v>10</v>
      </c>
      <c r="O20">
        <v>12.331517311882161</v>
      </c>
      <c r="P20">
        <v>645</v>
      </c>
      <c r="Q20">
        <v>500</v>
      </c>
      <c r="R20">
        <v>569.42639333778209</v>
      </c>
      <c r="S20">
        <v>1.2</v>
      </c>
      <c r="T20">
        <v>1</v>
      </c>
      <c r="U20">
        <v>1.6</v>
      </c>
      <c r="V20">
        <v>0.06</v>
      </c>
      <c r="W20">
        <v>0.05</v>
      </c>
      <c r="X20">
        <v>0.08</v>
      </c>
      <c r="Y20">
        <v>1.106083459024636</v>
      </c>
      <c r="Z20">
        <v>0.94807153630683039</v>
      </c>
      <c r="AA20">
        <v>2.4117647499834209</v>
      </c>
      <c r="AB20">
        <v>4.4659197453148867</v>
      </c>
      <c r="AC20">
        <v>4179.5881112073057</v>
      </c>
      <c r="AD20" t="b">
        <v>1</v>
      </c>
      <c r="AE20" t="s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workbookViewId="0">
      <selection activeCell="F30" sqref="F30"/>
    </sheetView>
  </sheetViews>
  <sheetFormatPr defaultRowHeight="15" x14ac:dyDescent="0.25"/>
  <sheetData>
    <row r="1" spans="1:2" x14ac:dyDescent="0.25">
      <c r="A1" s="1" t="s">
        <v>32</v>
      </c>
      <c r="B1" s="1" t="s">
        <v>33</v>
      </c>
    </row>
    <row r="2" spans="1:2" x14ac:dyDescent="0.25">
      <c r="A2" t="s">
        <v>0</v>
      </c>
      <c r="B2">
        <v>730</v>
      </c>
    </row>
    <row r="3" spans="1:2" x14ac:dyDescent="0.25">
      <c r="A3" t="s">
        <v>1</v>
      </c>
      <c r="B3">
        <v>550</v>
      </c>
    </row>
    <row r="4" spans="1:2" x14ac:dyDescent="0.25">
      <c r="A4" t="s">
        <v>4</v>
      </c>
      <c r="B4">
        <v>40</v>
      </c>
    </row>
    <row r="5" spans="1:2" x14ac:dyDescent="0.25">
      <c r="A5" t="s">
        <v>5</v>
      </c>
      <c r="B5">
        <v>70</v>
      </c>
    </row>
    <row r="6" spans="1:2" x14ac:dyDescent="0.25">
      <c r="A6" t="s">
        <v>2</v>
      </c>
      <c r="B6">
        <v>715</v>
      </c>
    </row>
    <row r="7" spans="1:2" x14ac:dyDescent="0.25">
      <c r="A7" t="s">
        <v>34</v>
      </c>
      <c r="B7">
        <v>450</v>
      </c>
    </row>
    <row r="8" spans="1:2" x14ac:dyDescent="0.25">
      <c r="A8" t="s">
        <v>35</v>
      </c>
      <c r="B8">
        <v>540</v>
      </c>
    </row>
    <row r="9" spans="1:2" x14ac:dyDescent="0.25">
      <c r="A9" t="s">
        <v>36</v>
      </c>
      <c r="B9">
        <v>5</v>
      </c>
    </row>
    <row r="10" spans="1:2" x14ac:dyDescent="0.25">
      <c r="A10" t="s">
        <v>9</v>
      </c>
      <c r="B10">
        <v>2.75</v>
      </c>
    </row>
    <row r="11" spans="1:2" x14ac:dyDescent="0.25">
      <c r="A11" t="s">
        <v>37</v>
      </c>
      <c r="B11">
        <v>1300</v>
      </c>
    </row>
    <row r="12" spans="1:2" x14ac:dyDescent="0.25">
      <c r="A12" t="s">
        <v>38</v>
      </c>
      <c r="B12">
        <v>850</v>
      </c>
    </row>
    <row r="13" spans="1:2" x14ac:dyDescent="0.25">
      <c r="A13" t="s">
        <v>39</v>
      </c>
      <c r="B13">
        <v>970</v>
      </c>
    </row>
    <row r="14" spans="1:2" x14ac:dyDescent="0.25">
      <c r="A14" t="s">
        <v>18</v>
      </c>
      <c r="B14">
        <v>1.2</v>
      </c>
    </row>
    <row r="15" spans="1:2" x14ac:dyDescent="0.25">
      <c r="A15" t="s">
        <v>19</v>
      </c>
      <c r="B15">
        <v>1</v>
      </c>
    </row>
    <row r="16" spans="1:2" x14ac:dyDescent="0.25">
      <c r="A16" t="s">
        <v>20</v>
      </c>
      <c r="B16">
        <v>1.6</v>
      </c>
    </row>
    <row r="17" spans="1:2" x14ac:dyDescent="0.25">
      <c r="A17" t="s">
        <v>40</v>
      </c>
      <c r="B17">
        <v>5</v>
      </c>
    </row>
    <row r="18" spans="1:2" x14ac:dyDescent="0.25">
      <c r="A18" t="s">
        <v>41</v>
      </c>
      <c r="B18">
        <v>5</v>
      </c>
    </row>
    <row r="19" spans="1:2" x14ac:dyDescent="0.25">
      <c r="A19" t="s">
        <v>42</v>
      </c>
      <c r="B19">
        <v>5</v>
      </c>
    </row>
    <row r="20" spans="1:2" x14ac:dyDescent="0.25">
      <c r="A20" t="s">
        <v>43</v>
      </c>
      <c r="B20">
        <v>0.75</v>
      </c>
    </row>
    <row r="21" spans="1:2" x14ac:dyDescent="0.25">
      <c r="A21" t="s">
        <v>44</v>
      </c>
      <c r="B21">
        <v>0.75</v>
      </c>
    </row>
    <row r="22" spans="1:2" x14ac:dyDescent="0.25">
      <c r="A22" t="s">
        <v>45</v>
      </c>
      <c r="B22">
        <v>0.75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workbookViewId="0">
      <selection activeCell="A22" sqref="A22"/>
    </sheetView>
  </sheetViews>
  <sheetFormatPr defaultRowHeight="15" x14ac:dyDescent="0.25"/>
  <cols>
    <col min="1" max="1" width="29.5703125" customWidth="1"/>
  </cols>
  <sheetData>
    <row r="1" spans="1:2" x14ac:dyDescent="0.25">
      <c r="A1" s="1" t="s">
        <v>32</v>
      </c>
      <c r="B1" s="1" t="s">
        <v>33</v>
      </c>
    </row>
    <row r="2" spans="1:2" x14ac:dyDescent="0.25">
      <c r="A2" t="s">
        <v>46</v>
      </c>
      <c r="B2">
        <v>19</v>
      </c>
    </row>
    <row r="3" spans="1:2" x14ac:dyDescent="0.25">
      <c r="A3" t="s">
        <v>0</v>
      </c>
      <c r="B3">
        <v>730</v>
      </c>
    </row>
    <row r="4" spans="1:2" x14ac:dyDescent="0.25">
      <c r="A4" t="s">
        <v>1</v>
      </c>
      <c r="B4">
        <v>550</v>
      </c>
    </row>
    <row r="5" spans="1:2" x14ac:dyDescent="0.25">
      <c r="A5" t="s">
        <v>4</v>
      </c>
      <c r="B5">
        <v>40</v>
      </c>
    </row>
    <row r="6" spans="1:2" x14ac:dyDescent="0.25">
      <c r="A6" t="s">
        <v>5</v>
      </c>
      <c r="B6">
        <v>70</v>
      </c>
    </row>
    <row r="7" spans="1:2" x14ac:dyDescent="0.25">
      <c r="A7" t="s">
        <v>9</v>
      </c>
      <c r="B7">
        <v>2.75</v>
      </c>
    </row>
    <row r="8" spans="1:2" x14ac:dyDescent="0.25">
      <c r="A8" t="s">
        <v>10</v>
      </c>
      <c r="B8">
        <v>2.75</v>
      </c>
    </row>
    <row r="9" spans="1:2" x14ac:dyDescent="0.25">
      <c r="A9" t="s">
        <v>11</v>
      </c>
      <c r="B9">
        <v>2.75</v>
      </c>
    </row>
    <row r="10" spans="1:2" x14ac:dyDescent="0.25">
      <c r="A10" t="s">
        <v>6</v>
      </c>
      <c r="B10">
        <v>11.752136752136749</v>
      </c>
    </row>
    <row r="11" spans="1:2" x14ac:dyDescent="0.25">
      <c r="A11" t="s">
        <v>47</v>
      </c>
      <c r="B11">
        <v>7.9825834542815679</v>
      </c>
    </row>
    <row r="12" spans="1:2" x14ac:dyDescent="0.25">
      <c r="A12" t="s">
        <v>48</v>
      </c>
      <c r="B12">
        <v>12.087912087912089</v>
      </c>
    </row>
    <row r="13" spans="1:2" x14ac:dyDescent="0.25">
      <c r="A13" t="s">
        <v>8</v>
      </c>
      <c r="B13">
        <v>21.931985695161739</v>
      </c>
    </row>
    <row r="14" spans="1:2" x14ac:dyDescent="0.25">
      <c r="A14" t="s">
        <v>24</v>
      </c>
      <c r="B14">
        <v>1.106083459024636</v>
      </c>
    </row>
    <row r="15" spans="1:2" x14ac:dyDescent="0.25">
      <c r="A15" t="s">
        <v>49</v>
      </c>
      <c r="B15">
        <v>0.62608497680639752</v>
      </c>
    </row>
    <row r="16" spans="1:2" x14ac:dyDescent="0.25">
      <c r="A16" t="s">
        <v>50</v>
      </c>
      <c r="B16">
        <v>0.94807153630683039</v>
      </c>
    </row>
    <row r="17" spans="1:2" x14ac:dyDescent="0.25">
      <c r="A17" t="s">
        <v>26</v>
      </c>
      <c r="B17">
        <v>2.4117647499834209</v>
      </c>
    </row>
    <row r="18" spans="1:2" x14ac:dyDescent="0.25">
      <c r="A18" t="s">
        <v>51</v>
      </c>
      <c r="B18">
        <v>4.1439331858144541</v>
      </c>
    </row>
    <row r="19" spans="1:2" x14ac:dyDescent="0.25">
      <c r="A19" t="s">
        <v>52</v>
      </c>
      <c r="B19">
        <v>4.4659197453148867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tabSelected="1" topLeftCell="B2" zoomScale="130" zoomScaleNormal="130" workbookViewId="0">
      <selection activeCell="N24" sqref="N24"/>
    </sheetView>
  </sheetViews>
  <sheetFormatPr defaultRowHeight="15" x14ac:dyDescent="0.25"/>
  <cols>
    <col min="1" max="1" width="43" style="7" customWidth="1"/>
    <col min="2" max="2" width="21.140625" style="7" customWidth="1"/>
    <col min="3" max="3" width="15.42578125" style="7" customWidth="1"/>
    <col min="4" max="4" width="14" style="7" customWidth="1"/>
    <col min="5" max="5" width="21.28515625" style="7" customWidth="1"/>
  </cols>
  <sheetData>
    <row r="1" spans="1:8" ht="60" x14ac:dyDescent="0.25">
      <c r="A1" s="3" t="s">
        <v>53</v>
      </c>
      <c r="B1" s="3" t="s">
        <v>54</v>
      </c>
      <c r="C1" s="3" t="s">
        <v>55</v>
      </c>
      <c r="D1" s="3" t="s">
        <v>56</v>
      </c>
      <c r="E1" s="3" t="s">
        <v>57</v>
      </c>
    </row>
    <row r="2" spans="1:8" ht="60" x14ac:dyDescent="0.25">
      <c r="A2" s="4" t="s">
        <v>58</v>
      </c>
      <c r="B2" s="4" t="s">
        <v>59</v>
      </c>
      <c r="C2" s="3">
        <v>2.75</v>
      </c>
      <c r="D2" s="4" t="s">
        <v>59</v>
      </c>
      <c r="E2" s="4" t="s">
        <v>59</v>
      </c>
    </row>
    <row r="3" spans="1:8" x14ac:dyDescent="0.25">
      <c r="A3" s="4" t="s">
        <v>60</v>
      </c>
      <c r="B3" s="4">
        <v>0.99</v>
      </c>
      <c r="C3" s="3">
        <v>2.7225000000000001</v>
      </c>
      <c r="D3" s="4">
        <v>2.75E-2</v>
      </c>
      <c r="E3" s="5">
        <v>0.01</v>
      </c>
    </row>
    <row r="4" spans="1:8" x14ac:dyDescent="0.25">
      <c r="A4" s="4" t="s">
        <v>61</v>
      </c>
      <c r="B4" s="4">
        <v>0.99</v>
      </c>
      <c r="C4" s="3">
        <v>2.6953</v>
      </c>
      <c r="D4" s="4">
        <v>2.7199999999999998E-2</v>
      </c>
      <c r="E4" s="5">
        <v>9.9000000000000008E-3</v>
      </c>
      <c r="F4" s="4">
        <v>2.7199999999999998E-2</v>
      </c>
      <c r="G4" s="4">
        <v>2.6700000000000002E-2</v>
      </c>
      <c r="H4">
        <f>SUM(F4:G4)</f>
        <v>5.3900000000000003E-2</v>
      </c>
    </row>
    <row r="5" spans="1:8" x14ac:dyDescent="0.25">
      <c r="A5" s="4" t="s">
        <v>62</v>
      </c>
      <c r="B5" s="4">
        <v>0.99</v>
      </c>
      <c r="C5" s="3">
        <v>2.6682999999999999</v>
      </c>
      <c r="D5" s="4">
        <v>2.7E-2</v>
      </c>
      <c r="E5" s="5">
        <v>9.7999999999999997E-3</v>
      </c>
    </row>
    <row r="6" spans="1:8" x14ac:dyDescent="0.25">
      <c r="A6" s="4" t="s">
        <v>63</v>
      </c>
      <c r="B6" s="4">
        <v>0.99</v>
      </c>
      <c r="C6" s="3">
        <v>2.6415999999999999</v>
      </c>
      <c r="D6" s="4">
        <v>2.6700000000000002E-2</v>
      </c>
      <c r="E6" s="5">
        <v>9.7000000000000003E-3</v>
      </c>
    </row>
    <row r="7" spans="1:8" ht="30" x14ac:dyDescent="0.25">
      <c r="A7" s="4" t="s">
        <v>64</v>
      </c>
      <c r="B7" s="4">
        <v>0.99</v>
      </c>
      <c r="C7" s="3">
        <v>2.6152000000000002</v>
      </c>
      <c r="D7" s="4">
        <v>2.64E-2</v>
      </c>
      <c r="E7" s="5">
        <v>9.5999999999999992E-3</v>
      </c>
    </row>
    <row r="8" spans="1:8" x14ac:dyDescent="0.25">
      <c r="A8" s="3" t="s">
        <v>65</v>
      </c>
      <c r="B8" s="4" t="s">
        <v>59</v>
      </c>
      <c r="C8" s="3">
        <v>2.6152000000000002</v>
      </c>
      <c r="D8" s="3">
        <v>0.1348</v>
      </c>
      <c r="E8" s="6">
        <v>4.9000000000000002E-2</v>
      </c>
      <c r="F8" s="2">
        <f>100%-E8</f>
        <v>0.95099999999999996</v>
      </c>
    </row>
    <row r="13" spans="1:8" x14ac:dyDescent="0.25">
      <c r="D13" s="7" t="s">
        <v>70</v>
      </c>
      <c r="E13" s="7">
        <v>0.96000000000000008</v>
      </c>
    </row>
    <row r="14" spans="1:8" x14ac:dyDescent="0.25">
      <c r="D14" s="7" t="s">
        <v>69</v>
      </c>
      <c r="E14" s="7">
        <v>0.98</v>
      </c>
    </row>
    <row r="15" spans="1:8" x14ac:dyDescent="0.25">
      <c r="D15" s="7" t="s">
        <v>68</v>
      </c>
      <c r="E15" s="7">
        <v>1.96</v>
      </c>
    </row>
    <row r="16" spans="1:8" x14ac:dyDescent="0.25">
      <c r="D16" s="7" t="s">
        <v>67</v>
      </c>
      <c r="E16" s="7">
        <v>0.99</v>
      </c>
    </row>
    <row r="17" spans="2:5" x14ac:dyDescent="0.25">
      <c r="D17" s="7" t="s">
        <v>66</v>
      </c>
      <c r="E17" s="7">
        <v>95.1</v>
      </c>
    </row>
    <row r="18" spans="2:5" x14ac:dyDescent="0.25">
      <c r="D18" s="7" t="s">
        <v>71</v>
      </c>
      <c r="E18" s="7">
        <v>100</v>
      </c>
    </row>
    <row r="19" spans="2:5" x14ac:dyDescent="0.25">
      <c r="B19" s="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Results</vt:lpstr>
      <vt:lpstr>Parameters</vt:lpstr>
      <vt:lpstr>Summary</vt:lpstr>
      <vt:lpstr>Лист1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Калугина Ксения Фаиковна</cp:lastModifiedBy>
  <dcterms:created xsi:type="dcterms:W3CDTF">2026-08-22T11:19:11Z</dcterms:created>
  <dcterms:modified xsi:type="dcterms:W3CDTF">2026-10-01T11:33:45Z</dcterms:modified>
</cp:coreProperties>
</file>